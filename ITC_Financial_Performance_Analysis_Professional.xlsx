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rehaanattri/Downloads/"/>
    </mc:Choice>
  </mc:AlternateContent>
  <xr:revisionPtr revIDLastSave="0" documentId="8_{DE6DB01F-2573-C04C-89C0-C28AF8FF2EB9}" xr6:coauthVersionLast="47" xr6:coauthVersionMax="47" xr10:uidLastSave="{00000000-0000-0000-0000-000000000000}"/>
  <bookViews>
    <workbookView xWindow="0" yWindow="660" windowWidth="29400" windowHeight="17240" xr2:uid="{00000000-000D-0000-FFFF-FFFF00000000}"/>
  </bookViews>
  <sheets>
    <sheet name="README" sheetId="1" r:id="rId1"/>
    <sheet name="Financial Statements" sheetId="2" r:id="rId2"/>
    <sheet name="Growth Analysis" sheetId="3" r:id="rId3"/>
    <sheet name="Ratio Analysis" sheetId="4" r:id="rId4"/>
    <sheet name="Trend Analysis" sheetId="5" r:id="rId5"/>
    <sheet name="Dashboard" sheetId="6" r:id="rId6"/>
    <sheet name="Chart Data" sheetId="7" state="hidden" r:id="rId7"/>
    <sheet name="Conclusi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3" l="1"/>
  <c r="E11" i="3"/>
  <c r="F10" i="3"/>
  <c r="E10" i="3"/>
  <c r="F9" i="3"/>
  <c r="E9" i="3"/>
  <c r="F8" i="3"/>
  <c r="E8" i="3"/>
  <c r="F7" i="3"/>
  <c r="E7" i="3"/>
  <c r="F6" i="3"/>
  <c r="E6" i="3"/>
  <c r="F5" i="3"/>
  <c r="E5" i="3"/>
</calcChain>
</file>

<file path=xl/sharedStrings.xml><?xml version="1.0" encoding="utf-8"?>
<sst xmlns="http://schemas.openxmlformats.org/spreadsheetml/2006/main" count="111" uniqueCount="82">
  <si>
    <t>ITC LTD. — FINANCIAL PERFORMANCE ANALYSIS</t>
  </si>
  <si>
    <t>Three-year consolidated financial analysis | FY 2022-23 to FY 2024-25</t>
  </si>
  <si>
    <t>Project purpose</t>
  </si>
  <si>
    <t>Academic portfolio project demonstrating financial statement analysis, growth analysis, ratio analysis and Excel-based visualization.</t>
  </si>
  <si>
    <t>Author</t>
  </si>
  <si>
    <t>Rehaan Attri | First-Year BAF Student | Mithibai College</t>
  </si>
  <si>
    <t>Important note</t>
  </si>
  <si>
    <t>FY25 PAT includes the accounting impact of discontinued operations. Comparisons with earlier years should therefore be interpreted carefully.</t>
  </si>
  <si>
    <t>Data basis</t>
  </si>
  <si>
    <t>Figures are in ₹ crore and are based on the supplied project workbook, cross-checked against ITC's official investor disclosures.</t>
  </si>
  <si>
    <t>ITC LTD. — CONSOLIDATED FINANCIAL DATA</t>
  </si>
  <si>
    <t>Figures in ₹ crore | Source: supplied project workbook and ITC official disclosures</t>
  </si>
  <si>
    <t>Particulars</t>
  </si>
  <si>
    <t>FY 2022-23</t>
  </si>
  <si>
    <t>FY 2023-24</t>
  </si>
  <si>
    <t>FY 2024-25</t>
  </si>
  <si>
    <t>INCOME STATEMENT</t>
  </si>
  <si>
    <t>Revenue from Operations</t>
  </si>
  <si>
    <t>Other Income</t>
  </si>
  <si>
    <t>Total Income</t>
  </si>
  <si>
    <t>Total Expenses</t>
  </si>
  <si>
    <t>Profit Before Tax</t>
  </si>
  <si>
    <t>Tax Expense</t>
  </si>
  <si>
    <t>Profit After Tax</t>
  </si>
  <si>
    <t>BALANCE SHEET</t>
  </si>
  <si>
    <t>Total Non-Current Assets</t>
  </si>
  <si>
    <t>Total Current Assets</t>
  </si>
  <si>
    <t>Total Assets</t>
  </si>
  <si>
    <t>Equity</t>
  </si>
  <si>
    <t>Total Non-Current Liabilities</t>
  </si>
  <si>
    <t>Total Current Liabilities</t>
  </si>
  <si>
    <t>Total Equity &amp; Liabilities</t>
  </si>
  <si>
    <t>CASH FLOW</t>
  </si>
  <si>
    <t>Net Cash from Operating Activities</t>
  </si>
  <si>
    <t>Net Cash from Investing Activities</t>
  </si>
  <si>
    <t>Net Cash from Financing Activities</t>
  </si>
  <si>
    <t>Cash &amp; Cash Equivalents</t>
  </si>
  <si>
    <t>ITC LTD. — GROWTH ANALYSIS</t>
  </si>
  <si>
    <t>Year-on-year growth calculated from the financial statement data</t>
  </si>
  <si>
    <t>FY24 Growth</t>
  </si>
  <si>
    <t>FY25 Growth</t>
  </si>
  <si>
    <t>ITC LTD. — RATIO ANALYSIS</t>
  </si>
  <si>
    <t>Key liquidity, profitability and efficiency indicators</t>
  </si>
  <si>
    <t>Ratio</t>
  </si>
  <si>
    <t>Formula</t>
  </si>
  <si>
    <t>Current Ratio</t>
  </si>
  <si>
    <t>Current Assets / Current Liabilities</t>
  </si>
  <si>
    <t>Net Profit Margin</t>
  </si>
  <si>
    <t>PAT / Revenue × 100</t>
  </si>
  <si>
    <t>Return on Assets</t>
  </si>
  <si>
    <t>PAT / Total Assets × 100</t>
  </si>
  <si>
    <t>Return on Equity</t>
  </si>
  <si>
    <t>PAT / Equity × 100</t>
  </si>
  <si>
    <t>Asset Turnover</t>
  </si>
  <si>
    <t>Revenue / Total Assets</t>
  </si>
  <si>
    <t>ITC LTD. — TREND ANALYSIS</t>
  </si>
  <si>
    <t>Three-year direction of selected financial indicators</t>
  </si>
  <si>
    <t>Overall Trend</t>
  </si>
  <si>
    <t>Increasing</t>
  </si>
  <si>
    <t>Fluctuating</t>
  </si>
  <si>
    <t>Increasing Overall</t>
  </si>
  <si>
    <t>ITC LTD. — FINANCIAL DASHBOARD</t>
  </si>
  <si>
    <t>FY 2022-23 to FY 2024-25 | Portfolio presentation</t>
  </si>
  <si>
    <t>Revenue FY25</t>
  </si>
  <si>
    <t>Profit After Tax FY25</t>
  </si>
  <si>
    <t>Current Ratio FY25</t>
  </si>
  <si>
    <t>ROE FY25</t>
  </si>
  <si>
    <t>Key Findings</t>
  </si>
  <si>
    <t>• Revenue from Operations increased from FY23 to FY25, with stronger growth in FY25.</t>
  </si>
  <si>
    <t>• FY25 PAT increased sharply; this includes the impact of discontinued operations and should not be treated as a like-for-like operating-profit comparison.</t>
  </si>
  <si>
    <t>• Liquidity remained comfortable, with the current ratio improving across the three years.</t>
  </si>
  <si>
    <t>• ROA and ROE improved substantially in FY25, reflecting the higher reported PAT.</t>
  </si>
  <si>
    <t>• Total assets and equity fluctuated over the period rather than following a straight upward trend.</t>
  </si>
  <si>
    <t>Metric</t>
  </si>
  <si>
    <t>Revenue</t>
  </si>
  <si>
    <t>ITC LTD. — CONCLUSION</t>
  </si>
  <si>
    <t>Portfolio-level interpretation based on the supplied three-year dataset</t>
  </si>
  <si>
    <t>• Revenue from Operations increased over FY23–FY25, with the strongest year-on-year increase occurring in FY25.</t>
  </si>
  <si>
    <t>• Liquidity improved gradually, with the current ratio rising from approximately 2.89x to 3.06x.</t>
  </si>
  <si>
    <t>• Profitability ratios increased materially in FY25, primarily because reported PAT includes the effect of discontinued operations.</t>
  </si>
  <si>
    <t>• Total assets and equity fluctuated across the period, so their movements should be interpreted alongside business and capital-allocation decisions.</t>
  </si>
  <si>
    <t>• The analysis demonstrates practical skills in financial statement organization, growth calculations, ratio analysis, trend interpretation and Excel visualization.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</si>
</sst>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\x"/>
    <numFmt numFmtId="165" formatCode="\₹#,##0.00"/>
  </numFmts>
  <fonts count="8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b/>
      <sz val="18"/>
      <name val="Calibri"/>
      <family val="2"/>
    </font>
    <font>
      <i/>
      <sz val="10"/>
      <name val="Calibri"/>
      <family val="2"/>
    </font>
    <font>
      <b/>
      <sz val="11"/>
      <name val="Calibri"/>
      <family val="2"/>
    </font>
    <font>
      <b/>
      <sz val="15"/>
      <name val="Calibri"/>
      <family val="2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4" fontId="5" fillId="3" borderId="1" xfId="0" applyNumberFormat="1" applyFont="1" applyFill="1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5" fontId="6" fillId="0" borderId="1" xfId="0" applyNumberFormat="1" applyFont="1" applyBorder="1" applyAlignment="1">
      <alignment vertical="center" wrapText="1"/>
    </xf>
    <xf numFmtId="164" fontId="6" fillId="0" borderId="1" xfId="0" applyNumberFormat="1" applyFont="1" applyBorder="1" applyAlignment="1">
      <alignment vertical="center" wrapText="1"/>
    </xf>
    <xf numFmtId="10" fontId="6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Revenue &amp; Profit After Tax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'Chart Data'!$B$1:$D$1</c:f>
              <c:strCache>
                <c:ptCount val="3"/>
                <c:pt idx="0">
                  <c:v>FY 2022-23</c:v>
                </c:pt>
                <c:pt idx="1">
                  <c:v>FY 2023-24</c:v>
                </c:pt>
                <c:pt idx="2">
                  <c:v>FY 2024-25</c:v>
                </c:pt>
              </c:strCache>
            </c:strRef>
          </c:cat>
          <c:val>
            <c:numRef>
              <c:f>'Chart Data'!$B$2:$D$2</c:f>
              <c:numCache>
                <c:formatCode>General</c:formatCode>
                <c:ptCount val="3"/>
                <c:pt idx="0">
                  <c:v>76518.210000000006</c:v>
                </c:pt>
                <c:pt idx="1">
                  <c:v>76840.490000000005</c:v>
                </c:pt>
                <c:pt idx="2">
                  <c:v>82282.8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C59-564E-9059-EA54804FE719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'Chart Data'!$B$1:$D$1</c:f>
              <c:strCache>
                <c:ptCount val="3"/>
                <c:pt idx="0">
                  <c:v>FY 2022-23</c:v>
                </c:pt>
                <c:pt idx="1">
                  <c:v>FY 2023-24</c:v>
                </c:pt>
                <c:pt idx="2">
                  <c:v>FY 2024-25</c:v>
                </c:pt>
              </c:strCache>
            </c:strRef>
          </c:cat>
          <c:val>
            <c:numRef>
              <c:f>'Chart Data'!$B$3:$D$3</c:f>
              <c:numCache>
                <c:formatCode>General</c:formatCode>
                <c:ptCount val="3"/>
                <c:pt idx="0">
                  <c:v>19477.72</c:v>
                </c:pt>
                <c:pt idx="1">
                  <c:v>20751.36</c:v>
                </c:pt>
                <c:pt idx="2">
                  <c:v>35052.480000000003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C59-564E-9059-EA54804FE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Financial 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₹ crore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14"/>
  <sheetViews>
    <sheetView showGridLines="0" tabSelected="1" workbookViewId="0"/>
  </sheetViews>
  <sheetFormatPr baseColWidth="10" defaultColWidth="8.83203125" defaultRowHeight="15" x14ac:dyDescent="0.2"/>
  <cols>
    <col min="1" max="1" width="105" customWidth="1"/>
  </cols>
  <sheetData>
    <row r="1" spans="1:1" ht="22" x14ac:dyDescent="0.2">
      <c r="A1" s="1" t="s">
        <v>0</v>
      </c>
    </row>
    <row r="2" spans="1:1" ht="16" x14ac:dyDescent="0.2">
      <c r="A2" s="2" t="s">
        <v>1</v>
      </c>
    </row>
    <row r="3" spans="1:1" x14ac:dyDescent="0.2">
      <c r="A3" s="3"/>
    </row>
    <row r="4" spans="1:1" ht="16" x14ac:dyDescent="0.2">
      <c r="A4" s="2" t="s">
        <v>2</v>
      </c>
    </row>
    <row r="5" spans="1:1" ht="16" x14ac:dyDescent="0.2">
      <c r="A5" s="3" t="s">
        <v>3</v>
      </c>
    </row>
    <row r="6" spans="1:1" x14ac:dyDescent="0.2">
      <c r="A6" s="3"/>
    </row>
    <row r="7" spans="1:1" ht="16" x14ac:dyDescent="0.2">
      <c r="A7" s="2" t="s">
        <v>4</v>
      </c>
    </row>
    <row r="8" spans="1:1" ht="16" x14ac:dyDescent="0.2">
      <c r="A8" s="3" t="s">
        <v>5</v>
      </c>
    </row>
    <row r="9" spans="1:1" x14ac:dyDescent="0.2">
      <c r="A9" s="3"/>
    </row>
    <row r="10" spans="1:1" ht="16" x14ac:dyDescent="0.2">
      <c r="A10" s="2" t="s">
        <v>6</v>
      </c>
    </row>
    <row r="11" spans="1:1" ht="32" x14ac:dyDescent="0.2">
      <c r="A11" s="3" t="s">
        <v>7</v>
      </c>
    </row>
    <row r="12" spans="1:1" x14ac:dyDescent="0.2">
      <c r="A12" s="3"/>
    </row>
    <row r="13" spans="1:1" ht="16" x14ac:dyDescent="0.2">
      <c r="A13" s="2" t="s">
        <v>8</v>
      </c>
    </row>
    <row r="14" spans="1:1" ht="16" x14ac:dyDescent="0.2">
      <c r="A14" s="3" t="s">
        <v>9</v>
      </c>
    </row>
  </sheetData>
  <pageMargins left="0.75" right="0.75" top="1" bottom="1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25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4" customWidth="1"/>
    <col min="2" max="4" width="18" customWidth="1"/>
  </cols>
  <sheetData>
    <row r="1" spans="1:4" ht="75" x14ac:dyDescent="0.2">
      <c r="A1" s="4" t="s">
        <v>10</v>
      </c>
      <c r="B1" s="3"/>
      <c r="C1" s="3"/>
      <c r="D1" s="3"/>
    </row>
    <row r="2" spans="1:4" ht="30" x14ac:dyDescent="0.2">
      <c r="A2" s="5" t="s">
        <v>11</v>
      </c>
      <c r="B2" s="3"/>
      <c r="C2" s="3"/>
      <c r="D2" s="3"/>
    </row>
    <row r="3" spans="1:4" x14ac:dyDescent="0.2">
      <c r="A3" s="3"/>
      <c r="B3" s="3"/>
      <c r="C3" s="3"/>
      <c r="D3" s="3"/>
    </row>
    <row r="4" spans="1:4" ht="16" x14ac:dyDescent="0.2">
      <c r="A4" s="6" t="s">
        <v>12</v>
      </c>
      <c r="B4" s="6" t="s">
        <v>13</v>
      </c>
      <c r="C4" s="6" t="s">
        <v>14</v>
      </c>
      <c r="D4" s="6" t="s">
        <v>15</v>
      </c>
    </row>
    <row r="5" spans="1:4" ht="16" x14ac:dyDescent="0.2">
      <c r="A5" s="7" t="s">
        <v>16</v>
      </c>
      <c r="B5" s="7"/>
      <c r="C5" s="7"/>
      <c r="D5" s="7"/>
    </row>
    <row r="6" spans="1:4" ht="16" x14ac:dyDescent="0.2">
      <c r="A6" s="3" t="s">
        <v>17</v>
      </c>
      <c r="B6" s="8">
        <v>76518.210000000006</v>
      </c>
      <c r="C6" s="8">
        <v>76840.490000000005</v>
      </c>
      <c r="D6" s="8">
        <v>82282.8</v>
      </c>
    </row>
    <row r="7" spans="1:4" ht="16" x14ac:dyDescent="0.2">
      <c r="A7" s="3" t="s">
        <v>18</v>
      </c>
      <c r="B7" s="8">
        <v>1980.49</v>
      </c>
      <c r="C7" s="8">
        <v>2727.84</v>
      </c>
      <c r="D7" s="8">
        <v>2529.69</v>
      </c>
    </row>
    <row r="8" spans="1:4" ht="16" x14ac:dyDescent="0.2">
      <c r="A8" s="3" t="s">
        <v>19</v>
      </c>
      <c r="B8" s="8">
        <v>78498.7</v>
      </c>
      <c r="C8" s="8">
        <v>79568.33</v>
      </c>
      <c r="D8" s="8">
        <v>84812.49</v>
      </c>
    </row>
    <row r="9" spans="1:4" ht="16" x14ac:dyDescent="0.2">
      <c r="A9" s="3" t="s">
        <v>20</v>
      </c>
      <c r="B9" s="8">
        <v>52705.49</v>
      </c>
      <c r="C9" s="8">
        <v>52448.49</v>
      </c>
      <c r="D9" s="8">
        <v>57325.95</v>
      </c>
    </row>
    <row r="10" spans="1:4" ht="16" x14ac:dyDescent="0.2">
      <c r="A10" s="3" t="s">
        <v>21</v>
      </c>
      <c r="B10" s="8">
        <v>25866.080000000002</v>
      </c>
      <c r="C10" s="8">
        <v>27139.88</v>
      </c>
      <c r="D10" s="8">
        <v>26926.94</v>
      </c>
    </row>
    <row r="11" spans="1:4" ht="16" x14ac:dyDescent="0.2">
      <c r="A11" s="3" t="s">
        <v>22</v>
      </c>
      <c r="B11" s="8">
        <v>6438.4</v>
      </c>
      <c r="C11" s="8">
        <v>6388.52</v>
      </c>
      <c r="D11" s="8">
        <v>6890.47</v>
      </c>
    </row>
    <row r="12" spans="1:4" ht="16" x14ac:dyDescent="0.2">
      <c r="A12" s="3" t="s">
        <v>23</v>
      </c>
      <c r="B12" s="8">
        <v>19477.72</v>
      </c>
      <c r="C12" s="8">
        <v>20751.36</v>
      </c>
      <c r="D12" s="8">
        <v>35052.480000000003</v>
      </c>
    </row>
    <row r="13" spans="1:4" ht="16" x14ac:dyDescent="0.2">
      <c r="A13" s="3" t="s">
        <v>24</v>
      </c>
      <c r="B13" s="3"/>
      <c r="C13" s="3"/>
      <c r="D13" s="3"/>
    </row>
    <row r="14" spans="1:4" ht="16" x14ac:dyDescent="0.2">
      <c r="A14" s="7" t="s">
        <v>25</v>
      </c>
      <c r="B14" s="9">
        <v>46212.09</v>
      </c>
      <c r="C14" s="9">
        <v>50760.62</v>
      </c>
      <c r="D14" s="9">
        <v>44197.4</v>
      </c>
    </row>
    <row r="15" spans="1:4" ht="16" x14ac:dyDescent="0.2">
      <c r="A15" s="3" t="s">
        <v>26</v>
      </c>
      <c r="B15" s="8">
        <v>39670.89</v>
      </c>
      <c r="C15" s="8">
        <v>41065.54</v>
      </c>
      <c r="D15" s="8">
        <v>43893.279999999999</v>
      </c>
    </row>
    <row r="16" spans="1:4" ht="16" x14ac:dyDescent="0.2">
      <c r="A16" s="3" t="s">
        <v>27</v>
      </c>
      <c r="B16" s="8">
        <v>85882.98</v>
      </c>
      <c r="C16" s="8">
        <v>91826.54</v>
      </c>
      <c r="D16" s="8">
        <v>88090.68</v>
      </c>
    </row>
    <row r="17" spans="1:4" ht="16" x14ac:dyDescent="0.2">
      <c r="A17" s="3" t="s">
        <v>28</v>
      </c>
      <c r="B17" s="8">
        <v>69538.789999999994</v>
      </c>
      <c r="C17" s="8">
        <v>74889.97</v>
      </c>
      <c r="D17" s="8">
        <v>70397.94</v>
      </c>
    </row>
    <row r="18" spans="1:4" ht="16" x14ac:dyDescent="0.2">
      <c r="A18" s="3" t="s">
        <v>29</v>
      </c>
      <c r="B18" s="8">
        <v>2604.7800000000002</v>
      </c>
      <c r="C18" s="8">
        <v>3245.79</v>
      </c>
      <c r="D18" s="8">
        <v>3358.63</v>
      </c>
    </row>
    <row r="19" spans="1:4" ht="16" x14ac:dyDescent="0.2">
      <c r="A19" s="3" t="s">
        <v>30</v>
      </c>
      <c r="B19" s="8">
        <v>13439.41</v>
      </c>
      <c r="C19" s="8">
        <v>13690.4</v>
      </c>
      <c r="D19" s="8">
        <v>14334.11</v>
      </c>
    </row>
    <row r="20" spans="1:4" ht="16" x14ac:dyDescent="0.2">
      <c r="A20" s="3" t="s">
        <v>31</v>
      </c>
      <c r="B20" s="8">
        <v>85882.98</v>
      </c>
      <c r="C20" s="8">
        <v>91826.16</v>
      </c>
      <c r="D20" s="8">
        <v>88090.68</v>
      </c>
    </row>
    <row r="21" spans="1:4" ht="16" x14ac:dyDescent="0.2">
      <c r="A21" s="3" t="s">
        <v>32</v>
      </c>
      <c r="B21" s="3"/>
      <c r="C21" s="3"/>
      <c r="D21" s="3"/>
    </row>
    <row r="22" spans="1:4" ht="16" x14ac:dyDescent="0.2">
      <c r="A22" s="7" t="s">
        <v>33</v>
      </c>
      <c r="B22" s="9">
        <v>18877.55</v>
      </c>
      <c r="C22" s="7"/>
      <c r="D22" s="7"/>
    </row>
    <row r="23" spans="1:4" ht="16" x14ac:dyDescent="0.2">
      <c r="A23" s="3" t="s">
        <v>34</v>
      </c>
      <c r="B23" s="8">
        <v>-5732.29</v>
      </c>
      <c r="C23" s="3"/>
      <c r="D23" s="3"/>
    </row>
    <row r="24" spans="1:4" ht="16" x14ac:dyDescent="0.2">
      <c r="A24" s="3" t="s">
        <v>35</v>
      </c>
      <c r="B24" s="8">
        <v>-13006.03</v>
      </c>
      <c r="C24" s="3"/>
      <c r="D24" s="3"/>
    </row>
    <row r="25" spans="1:4" ht="16" x14ac:dyDescent="0.2">
      <c r="A25" s="3" t="s">
        <v>36</v>
      </c>
      <c r="B25" s="8">
        <v>463.35</v>
      </c>
      <c r="C25" s="8">
        <v>625.89</v>
      </c>
      <c r="D25" s="8">
        <v>620</v>
      </c>
    </row>
  </sheetData>
  <pageMargins left="0.75" right="0.75" top="1" bottom="1" header="0.5" footer="0.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1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8" customWidth="1"/>
    <col min="2" max="6" width="17" customWidth="1"/>
  </cols>
  <sheetData>
    <row r="1" spans="1:6" ht="50" x14ac:dyDescent="0.2">
      <c r="A1" s="4" t="s">
        <v>37</v>
      </c>
      <c r="B1" s="3"/>
      <c r="C1" s="3"/>
      <c r="D1" s="3"/>
      <c r="E1" s="3"/>
      <c r="F1" s="3"/>
    </row>
    <row r="2" spans="1:6" ht="30" x14ac:dyDescent="0.2">
      <c r="A2" s="5" t="s">
        <v>38</v>
      </c>
      <c r="B2" s="3"/>
      <c r="C2" s="3"/>
      <c r="D2" s="3"/>
      <c r="E2" s="3"/>
      <c r="F2" s="3"/>
    </row>
    <row r="3" spans="1:6" x14ac:dyDescent="0.2">
      <c r="A3" s="3"/>
      <c r="B3" s="3"/>
      <c r="C3" s="3"/>
      <c r="D3" s="3"/>
      <c r="E3" s="3"/>
      <c r="F3" s="3"/>
    </row>
    <row r="4" spans="1:6" ht="16" x14ac:dyDescent="0.2">
      <c r="A4" s="6" t="s">
        <v>12</v>
      </c>
      <c r="B4" s="6" t="s">
        <v>13</v>
      </c>
      <c r="C4" s="6" t="s">
        <v>14</v>
      </c>
      <c r="D4" s="6" t="s">
        <v>15</v>
      </c>
      <c r="E4" s="6" t="s">
        <v>39</v>
      </c>
      <c r="F4" s="6" t="s">
        <v>40</v>
      </c>
    </row>
    <row r="5" spans="1:6" ht="16" x14ac:dyDescent="0.2">
      <c r="A5" s="3" t="s">
        <v>17</v>
      </c>
      <c r="B5" s="8">
        <v>76518.210000000006</v>
      </c>
      <c r="C5" s="8">
        <v>76840.490000000005</v>
      </c>
      <c r="D5" s="8">
        <v>82282.8</v>
      </c>
      <c r="E5" s="10">
        <f t="shared" ref="E5:F11" si="0">(C5-B5)/B5</f>
        <v>4.2118078820714546E-3</v>
      </c>
      <c r="F5" s="10">
        <f t="shared" si="0"/>
        <v>7.0826070994601906E-2</v>
      </c>
    </row>
    <row r="6" spans="1:6" ht="16" x14ac:dyDescent="0.2">
      <c r="A6" s="3" t="s">
        <v>19</v>
      </c>
      <c r="B6" s="8">
        <v>78498.7</v>
      </c>
      <c r="C6" s="8">
        <v>79568.33</v>
      </c>
      <c r="D6" s="8">
        <v>84812.49</v>
      </c>
      <c r="E6" s="10">
        <f t="shared" si="0"/>
        <v>1.362608552753109E-2</v>
      </c>
      <c r="F6" s="10">
        <f t="shared" si="0"/>
        <v>6.5907629329407857E-2</v>
      </c>
    </row>
    <row r="7" spans="1:6" ht="16" x14ac:dyDescent="0.2">
      <c r="A7" s="3" t="s">
        <v>20</v>
      </c>
      <c r="B7" s="8">
        <v>52705.49</v>
      </c>
      <c r="C7" s="8">
        <v>52448.49</v>
      </c>
      <c r="D7" s="8">
        <v>57325.95</v>
      </c>
      <c r="E7" s="10">
        <f t="shared" si="0"/>
        <v>-4.8761523704646328E-3</v>
      </c>
      <c r="F7" s="10">
        <f t="shared" si="0"/>
        <v>9.2995241617060839E-2</v>
      </c>
    </row>
    <row r="8" spans="1:6" ht="16" x14ac:dyDescent="0.2">
      <c r="A8" s="3" t="s">
        <v>21</v>
      </c>
      <c r="B8" s="8">
        <v>25866.080000000002</v>
      </c>
      <c r="C8" s="8">
        <v>27139.88</v>
      </c>
      <c r="D8" s="8">
        <v>26926.94</v>
      </c>
      <c r="E8" s="10">
        <f t="shared" si="0"/>
        <v>4.9245962279556826E-2</v>
      </c>
      <c r="F8" s="10">
        <f t="shared" si="0"/>
        <v>-7.8460184790795796E-3</v>
      </c>
    </row>
    <row r="9" spans="1:6" ht="16" x14ac:dyDescent="0.2">
      <c r="A9" s="3" t="s">
        <v>23</v>
      </c>
      <c r="B9" s="8">
        <v>19477.72</v>
      </c>
      <c r="C9" s="8">
        <v>20751.36</v>
      </c>
      <c r="D9" s="8">
        <v>35052.480000000003</v>
      </c>
      <c r="E9" s="10">
        <f t="shared" si="0"/>
        <v>6.5389583585758457E-2</v>
      </c>
      <c r="F9" s="10">
        <f t="shared" si="0"/>
        <v>0.68916543301258337</v>
      </c>
    </row>
    <row r="10" spans="1:6" ht="16" x14ac:dyDescent="0.2">
      <c r="A10" s="3" t="s">
        <v>27</v>
      </c>
      <c r="B10" s="8">
        <v>85882.98</v>
      </c>
      <c r="C10" s="8">
        <v>91826.54</v>
      </c>
      <c r="D10" s="8">
        <v>88090.68</v>
      </c>
      <c r="E10" s="10">
        <f t="shared" si="0"/>
        <v>6.9205330322725148E-2</v>
      </c>
      <c r="F10" s="10">
        <f t="shared" si="0"/>
        <v>-4.0683880716838518E-2</v>
      </c>
    </row>
    <row r="11" spans="1:6" ht="16" x14ac:dyDescent="0.2">
      <c r="A11" s="3" t="s">
        <v>28</v>
      </c>
      <c r="B11" s="8">
        <v>69538.789999999994</v>
      </c>
      <c r="C11" s="8">
        <v>74889.97</v>
      </c>
      <c r="D11" s="8">
        <v>70397.94</v>
      </c>
      <c r="E11" s="10">
        <f t="shared" si="0"/>
        <v>7.6952446253378992E-2</v>
      </c>
      <c r="F11" s="10">
        <f t="shared" si="0"/>
        <v>-5.9981730530804044E-2</v>
      </c>
    </row>
  </sheetData>
  <pageMargins left="0.75" right="0.75" top="1" bottom="1" header="0.5" footer="0.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9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4" customWidth="1"/>
    <col min="2" max="2" width="34" customWidth="1"/>
    <col min="3" max="5" width="17" customWidth="1"/>
  </cols>
  <sheetData>
    <row r="1" spans="1:5" ht="50" x14ac:dyDescent="0.2">
      <c r="A1" s="4" t="s">
        <v>41</v>
      </c>
      <c r="B1" s="3"/>
      <c r="C1" s="3"/>
      <c r="D1" s="3"/>
      <c r="E1" s="3"/>
    </row>
    <row r="2" spans="1:5" ht="30" x14ac:dyDescent="0.2">
      <c r="A2" s="5" t="s">
        <v>42</v>
      </c>
      <c r="B2" s="3"/>
      <c r="C2" s="3"/>
      <c r="D2" s="3"/>
      <c r="E2" s="3"/>
    </row>
    <row r="3" spans="1:5" x14ac:dyDescent="0.2">
      <c r="A3" s="3"/>
      <c r="B3" s="3"/>
      <c r="C3" s="3"/>
      <c r="D3" s="3"/>
      <c r="E3" s="3"/>
    </row>
    <row r="4" spans="1:5" ht="16" x14ac:dyDescent="0.2">
      <c r="A4" s="6" t="s">
        <v>43</v>
      </c>
      <c r="B4" s="6" t="s">
        <v>44</v>
      </c>
      <c r="C4" s="6" t="s">
        <v>13</v>
      </c>
      <c r="D4" s="6" t="s">
        <v>14</v>
      </c>
      <c r="E4" s="6" t="s">
        <v>15</v>
      </c>
    </row>
    <row r="5" spans="1:5" ht="16" x14ac:dyDescent="0.2">
      <c r="A5" s="3" t="s">
        <v>45</v>
      </c>
      <c r="B5" s="3" t="s">
        <v>46</v>
      </c>
      <c r="C5" s="11">
        <v>2.9518327069417478</v>
      </c>
      <c r="D5" s="11">
        <v>2.999586571612225</v>
      </c>
      <c r="E5" s="11">
        <v>3.0621559343412321</v>
      </c>
    </row>
    <row r="6" spans="1:5" ht="16" x14ac:dyDescent="0.2">
      <c r="A6" s="3" t="s">
        <v>47</v>
      </c>
      <c r="B6" s="3" t="s">
        <v>48</v>
      </c>
      <c r="C6" s="10">
        <v>0.25455012604189248</v>
      </c>
      <c r="D6" s="10">
        <v>0.27005762196466992</v>
      </c>
      <c r="E6" s="10">
        <v>0.42600008750309909</v>
      </c>
    </row>
    <row r="7" spans="1:5" ht="16" x14ac:dyDescent="0.2">
      <c r="A7" s="3" t="s">
        <v>49</v>
      </c>
      <c r="B7" s="3" t="s">
        <v>50</v>
      </c>
      <c r="C7" s="10">
        <v>0.22679371395822551</v>
      </c>
      <c r="D7" s="10">
        <v>0.22598433960377909</v>
      </c>
      <c r="E7" s="10">
        <v>0.39791360448120061</v>
      </c>
    </row>
    <row r="8" spans="1:5" ht="16" x14ac:dyDescent="0.2">
      <c r="A8" s="3" t="s">
        <v>51</v>
      </c>
      <c r="B8" s="3" t="s">
        <v>52</v>
      </c>
      <c r="C8" s="10">
        <v>0.28009863271995389</v>
      </c>
      <c r="D8" s="10">
        <v>0.27709131142661703</v>
      </c>
      <c r="E8" s="10">
        <v>0.49791911524683818</v>
      </c>
    </row>
    <row r="9" spans="1:5" ht="16" x14ac:dyDescent="0.2">
      <c r="A9" s="3" t="s">
        <v>53</v>
      </c>
      <c r="B9" s="3" t="s">
        <v>54</v>
      </c>
      <c r="C9" s="11">
        <v>0.89095895368325606</v>
      </c>
      <c r="D9" s="11">
        <v>0.83680045006596149</v>
      </c>
      <c r="E9" s="11">
        <v>0.93406930222357243</v>
      </c>
    </row>
  </sheetData>
  <pageMargins left="0.75" right="0.75" top="1" bottom="1" header="0.5" footer="0.5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9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0" customWidth="1"/>
    <col min="2" max="5" width="18" customWidth="1"/>
  </cols>
  <sheetData>
    <row r="1" spans="1:5" ht="50" x14ac:dyDescent="0.2">
      <c r="A1" s="4" t="s">
        <v>55</v>
      </c>
      <c r="B1" s="3"/>
      <c r="C1" s="3"/>
      <c r="D1" s="3"/>
      <c r="E1" s="3"/>
    </row>
    <row r="2" spans="1:5" ht="30" x14ac:dyDescent="0.2">
      <c r="A2" s="5" t="s">
        <v>56</v>
      </c>
      <c r="B2" s="3"/>
      <c r="C2" s="3"/>
      <c r="D2" s="3"/>
      <c r="E2" s="3"/>
    </row>
    <row r="3" spans="1:5" x14ac:dyDescent="0.2">
      <c r="A3" s="3"/>
      <c r="B3" s="3"/>
      <c r="C3" s="3"/>
      <c r="D3" s="3"/>
      <c r="E3" s="3"/>
    </row>
    <row r="4" spans="1:5" ht="16" x14ac:dyDescent="0.2">
      <c r="A4" s="6" t="s">
        <v>12</v>
      </c>
      <c r="B4" s="6" t="s">
        <v>13</v>
      </c>
      <c r="C4" s="6" t="s">
        <v>14</v>
      </c>
      <c r="D4" s="6" t="s">
        <v>15</v>
      </c>
      <c r="E4" s="6" t="s">
        <v>57</v>
      </c>
    </row>
    <row r="5" spans="1:5" ht="16" x14ac:dyDescent="0.2">
      <c r="A5" s="3" t="s">
        <v>17</v>
      </c>
      <c r="B5" s="8">
        <v>76518.210000000006</v>
      </c>
      <c r="C5" s="8">
        <v>76840.490000000005</v>
      </c>
      <c r="D5" s="8">
        <v>82282.8</v>
      </c>
      <c r="E5" s="3" t="s">
        <v>58</v>
      </c>
    </row>
    <row r="6" spans="1:5" ht="16" x14ac:dyDescent="0.2">
      <c r="A6" s="3" t="s">
        <v>23</v>
      </c>
      <c r="B6" s="8">
        <v>19477.72</v>
      </c>
      <c r="C6" s="8">
        <v>20751.36</v>
      </c>
      <c r="D6" s="8">
        <v>35052.480000000003</v>
      </c>
      <c r="E6" s="3" t="s">
        <v>58</v>
      </c>
    </row>
    <row r="7" spans="1:5" ht="16" x14ac:dyDescent="0.2">
      <c r="A7" s="3" t="s">
        <v>27</v>
      </c>
      <c r="B7" s="8">
        <v>85882.98</v>
      </c>
      <c r="C7" s="8">
        <v>91826.54</v>
      </c>
      <c r="D7" s="8">
        <v>88090.68</v>
      </c>
      <c r="E7" s="3" t="s">
        <v>59</v>
      </c>
    </row>
    <row r="8" spans="1:5" ht="16" x14ac:dyDescent="0.2">
      <c r="A8" s="3" t="s">
        <v>28</v>
      </c>
      <c r="B8" s="8">
        <v>69538.789999999994</v>
      </c>
      <c r="C8" s="8">
        <v>74889.97</v>
      </c>
      <c r="D8" s="8">
        <v>70397.94</v>
      </c>
      <c r="E8" s="3" t="s">
        <v>59</v>
      </c>
    </row>
    <row r="9" spans="1:5" ht="16" x14ac:dyDescent="0.2">
      <c r="A9" s="3" t="s">
        <v>36</v>
      </c>
      <c r="B9" s="8">
        <v>463.35</v>
      </c>
      <c r="C9" s="8">
        <v>625.89</v>
      </c>
      <c r="D9" s="8">
        <v>620</v>
      </c>
      <c r="E9" s="3" t="s">
        <v>60</v>
      </c>
    </row>
  </sheetData>
  <pageMargins left="0.75" right="0.75" top="1" bottom="1" header="0.5" footer="0.5"/>
  <pageSetup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13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8" customWidth="1"/>
    <col min="2" max="4" width="22" customWidth="1"/>
  </cols>
  <sheetData>
    <row r="1" spans="1:4" ht="75" x14ac:dyDescent="0.2">
      <c r="A1" s="4" t="s">
        <v>61</v>
      </c>
      <c r="B1" s="3"/>
      <c r="C1" s="3"/>
      <c r="D1" s="3"/>
    </row>
    <row r="2" spans="1:4" ht="30" x14ac:dyDescent="0.2">
      <c r="A2" s="5" t="s">
        <v>62</v>
      </c>
      <c r="B2" s="3"/>
      <c r="C2" s="3"/>
      <c r="D2" s="3"/>
    </row>
    <row r="3" spans="1:4" x14ac:dyDescent="0.2">
      <c r="A3" s="3"/>
      <c r="B3" s="3"/>
      <c r="C3" s="3"/>
      <c r="D3" s="3"/>
    </row>
    <row r="4" spans="1:4" ht="16" x14ac:dyDescent="0.2">
      <c r="A4" s="6" t="s">
        <v>63</v>
      </c>
      <c r="B4" s="6" t="s">
        <v>64</v>
      </c>
      <c r="C4" s="6" t="s">
        <v>65</v>
      </c>
      <c r="D4" s="6" t="s">
        <v>66</v>
      </c>
    </row>
    <row r="5" spans="1:4" ht="20" x14ac:dyDescent="0.2">
      <c r="A5" s="12">
        <v>82282.8</v>
      </c>
      <c r="B5" s="12">
        <v>35052.480000000003</v>
      </c>
      <c r="C5" s="13">
        <v>3.0621559343412321</v>
      </c>
      <c r="D5" s="14">
        <v>0.49791911524683818</v>
      </c>
    </row>
    <row r="6" spans="1:4" x14ac:dyDescent="0.2">
      <c r="A6" s="3"/>
      <c r="B6" s="3"/>
      <c r="C6" s="3"/>
      <c r="D6" s="3"/>
    </row>
    <row r="7" spans="1:4" x14ac:dyDescent="0.2">
      <c r="A7" s="3"/>
      <c r="B7" s="3"/>
      <c r="C7" s="3"/>
      <c r="D7" s="3"/>
    </row>
    <row r="8" spans="1:4" ht="20" x14ac:dyDescent="0.2">
      <c r="A8" s="15" t="s">
        <v>67</v>
      </c>
      <c r="B8" s="3"/>
      <c r="C8" s="3"/>
      <c r="D8" s="3"/>
    </row>
    <row r="9" spans="1:4" x14ac:dyDescent="0.2">
      <c r="A9" s="16" t="s">
        <v>68</v>
      </c>
      <c r="B9" s="16"/>
      <c r="C9" s="16"/>
      <c r="D9" s="16"/>
    </row>
    <row r="10" spans="1:4" x14ac:dyDescent="0.2">
      <c r="A10" s="16" t="s">
        <v>69</v>
      </c>
      <c r="B10" s="16"/>
      <c r="C10" s="16"/>
      <c r="D10" s="16"/>
    </row>
    <row r="11" spans="1:4" x14ac:dyDescent="0.2">
      <c r="A11" s="16" t="s">
        <v>70</v>
      </c>
      <c r="B11" s="16"/>
      <c r="C11" s="16"/>
      <c r="D11" s="16"/>
    </row>
    <row r="12" spans="1:4" x14ac:dyDescent="0.2">
      <c r="A12" s="16" t="s">
        <v>71</v>
      </c>
      <c r="B12" s="16"/>
      <c r="C12" s="16"/>
      <c r="D12" s="16"/>
    </row>
    <row r="13" spans="1:4" x14ac:dyDescent="0.2">
      <c r="A13" s="16" t="s">
        <v>72</v>
      </c>
      <c r="B13" s="16"/>
      <c r="C13" s="16"/>
      <c r="D13" s="16"/>
    </row>
  </sheetData>
  <mergeCells count="5">
    <mergeCell ref="A9:D9"/>
    <mergeCell ref="A12:D12"/>
    <mergeCell ref="A11:D11"/>
    <mergeCell ref="A10:D10"/>
    <mergeCell ref="A13:D13"/>
  </mergeCells>
  <pageMargins left="0.75" right="0.75" top="1" bottom="1" header="0.5" footer="0.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"/>
  <sheetViews>
    <sheetView workbookViewId="0"/>
  </sheetViews>
  <sheetFormatPr baseColWidth="10" defaultColWidth="8.83203125" defaultRowHeight="15" x14ac:dyDescent="0.2"/>
  <sheetData>
    <row r="1" spans="1:4" x14ac:dyDescent="0.2">
      <c r="A1" t="s">
        <v>73</v>
      </c>
      <c r="B1" t="s">
        <v>13</v>
      </c>
      <c r="C1" t="s">
        <v>14</v>
      </c>
      <c r="D1" t="s">
        <v>15</v>
      </c>
    </row>
    <row r="2" spans="1:4" x14ac:dyDescent="0.2">
      <c r="A2" t="s">
        <v>74</v>
      </c>
      <c r="B2">
        <v>76518.210000000006</v>
      </c>
      <c r="C2">
        <v>76840.490000000005</v>
      </c>
      <c r="D2">
        <v>82282.8</v>
      </c>
    </row>
    <row r="3" spans="1:4" x14ac:dyDescent="0.2">
      <c r="A3" t="s">
        <v>23</v>
      </c>
      <c r="B3">
        <v>19477.72</v>
      </c>
      <c r="C3">
        <v>20751.36</v>
      </c>
      <c r="D3">
        <v>35052.480000000003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9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0" customWidth="1"/>
  </cols>
  <sheetData>
    <row r="1" spans="1:5" ht="25" x14ac:dyDescent="0.2">
      <c r="A1" s="4" t="s">
        <v>75</v>
      </c>
      <c r="B1" s="3"/>
      <c r="C1" s="3"/>
      <c r="D1" s="3"/>
      <c r="E1" s="3"/>
    </row>
    <row r="2" spans="1:5" x14ac:dyDescent="0.2">
      <c r="A2" s="5" t="s">
        <v>76</v>
      </c>
      <c r="B2" s="3"/>
      <c r="C2" s="3"/>
      <c r="D2" s="3"/>
      <c r="E2" s="3"/>
    </row>
    <row r="3" spans="1:5" x14ac:dyDescent="0.2">
      <c r="A3" s="3"/>
      <c r="B3" s="3"/>
      <c r="C3" s="3"/>
      <c r="D3" s="3"/>
      <c r="E3" s="3"/>
    </row>
    <row r="4" spans="1:5" x14ac:dyDescent="0.2">
      <c r="A4" s="3"/>
      <c r="B4" s="3"/>
      <c r="C4" s="3"/>
      <c r="D4" s="3"/>
      <c r="E4" s="3"/>
    </row>
    <row r="5" spans="1:5" x14ac:dyDescent="0.2">
      <c r="A5" s="16" t="s">
        <v>77</v>
      </c>
      <c r="B5" s="16"/>
      <c r="C5" s="16"/>
      <c r="D5" s="16"/>
      <c r="E5" s="16"/>
    </row>
    <row r="6" spans="1:5" x14ac:dyDescent="0.2">
      <c r="A6" s="16" t="s">
        <v>78</v>
      </c>
      <c r="B6" s="16"/>
      <c r="C6" s="16"/>
      <c r="D6" s="16"/>
      <c r="E6" s="16"/>
    </row>
    <row r="7" spans="1:5" x14ac:dyDescent="0.2">
      <c r="A7" s="16" t="s">
        <v>79</v>
      </c>
      <c r="B7" s="16"/>
      <c r="C7" s="16"/>
      <c r="D7" s="16"/>
      <c r="E7" s="16"/>
    </row>
    <row r="8" spans="1:5" x14ac:dyDescent="0.2">
      <c r="A8" s="16" t="s">
        <v>80</v>
      </c>
      <c r="B8" s="16"/>
      <c r="C8" s="16"/>
      <c r="D8" s="16"/>
      <c r="E8" s="16"/>
    </row>
    <row r="9" spans="1:5" x14ac:dyDescent="0.2">
      <c r="A9" s="16" t="s">
        <v>81</v>
      </c>
      <c r="B9" s="16"/>
      <c r="C9" s="16"/>
      <c r="D9" s="16"/>
      <c r="E9" s="16"/>
    </row>
  </sheetData>
  <mergeCells count="5">
    <mergeCell ref="A7:E7"/>
    <mergeCell ref="A5:E5"/>
    <mergeCell ref="A8:E8"/>
    <mergeCell ref="A6:E6"/>
    <mergeCell ref="A9:E9"/>
  </mergeCells>
  <pageMargins left="0.75" right="0.75" top="1" bottom="1" header="0.5" footer="0.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Financial Statements</vt:lpstr>
      <vt:lpstr>Growth Analysis</vt:lpstr>
      <vt:lpstr>Ratio Analysis</vt:lpstr>
      <vt:lpstr>Trend Analysis</vt:lpstr>
      <vt:lpstr>Dashboard</vt:lpstr>
      <vt:lpstr>Chart Data</vt:lpstr>
      <vt:lpstr>Conclusion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v6181</cp:lastModifiedBy>
  <dcterms:created xsi:type="dcterms:W3CDTF">2026-09-02T15:03:37Z</dcterms:created>
  <dcterms:modified xsi:type="dcterms:W3CDTF">2026-09-02T15:38:28Z</dcterms:modified>
</cp:coreProperties>
</file>