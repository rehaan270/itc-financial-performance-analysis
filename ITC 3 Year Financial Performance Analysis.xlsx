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rorygroup-my.sharepoint.com/personal/v6181_1_a1plus_org/Documents/"/>
    </mc:Choice>
  </mc:AlternateContent>
  <xr:revisionPtr revIDLastSave="3" documentId="8_{FEAC265C-C397-094B-9614-FE5D922B6EAD}" xr6:coauthVersionLast="47" xr6:coauthVersionMax="47" xr10:uidLastSave="{EF4371EB-C63F-4935-9126-E0FCF9F0E8A3}"/>
  <bookViews>
    <workbookView xWindow="680" yWindow="660" windowWidth="28040" windowHeight="17160" activeTab="5" xr2:uid="{72A332FA-5B24-454E-A7F0-2372F89438B2}"/>
  </bookViews>
  <sheets>
    <sheet name="Raw Data" sheetId="1" r:id="rId1"/>
    <sheet name="Growth Analysis" sheetId="2" r:id="rId2"/>
    <sheet name="Ratio Analysis" sheetId="3" r:id="rId3"/>
    <sheet name="Trend Analysis" sheetId="4" r:id="rId4"/>
    <sheet name="Dashboard" sheetId="5" r:id="rId5"/>
    <sheet name="Conclusio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2" l="1"/>
  <c r="F8" i="2"/>
  <c r="F7" i="2"/>
  <c r="F6" i="2"/>
  <c r="F5" i="2"/>
  <c r="E9" i="2"/>
  <c r="E8" i="2"/>
  <c r="E7" i="2"/>
  <c r="E6" i="2"/>
  <c r="E5" i="2"/>
  <c r="F4" i="2"/>
  <c r="F3" i="2"/>
  <c r="E4" i="2"/>
  <c r="E3" i="2"/>
</calcChain>
</file>

<file path=xl/sharedStrings.xml><?xml version="1.0" encoding="utf-8"?>
<sst xmlns="http://schemas.openxmlformats.org/spreadsheetml/2006/main" count="99" uniqueCount="78">
  <si>
    <t>ITC LIMITED- 3 YEAR FINANCIAL PERFORMANCE ANALYSIS</t>
  </si>
  <si>
    <t>Particulars (in crores)</t>
  </si>
  <si>
    <t>FY 2022-23</t>
  </si>
  <si>
    <t>FY 2023-24</t>
  </si>
  <si>
    <t>FY 2024-25</t>
  </si>
  <si>
    <t>INCOME STATEMENT</t>
  </si>
  <si>
    <t>Revenue from Operations</t>
  </si>
  <si>
    <t>Other Income</t>
  </si>
  <si>
    <t>Total Income</t>
  </si>
  <si>
    <t>Total Expenses</t>
  </si>
  <si>
    <t>Profit before Tax</t>
  </si>
  <si>
    <t>Tax Expense</t>
  </si>
  <si>
    <t>Profit After Tax</t>
  </si>
  <si>
    <t>BALANCE SHEET</t>
  </si>
  <si>
    <t>Total Non-Current Assets</t>
  </si>
  <si>
    <t>Total Current Asstes</t>
  </si>
  <si>
    <t>Total Assets</t>
  </si>
  <si>
    <t>Equity</t>
  </si>
  <si>
    <t>Total Non-Current Liabilities</t>
  </si>
  <si>
    <t>Total Current Liabilities</t>
  </si>
  <si>
    <t>Total Equiuty &amp; Liabilities</t>
  </si>
  <si>
    <t>CASH FLOW</t>
  </si>
  <si>
    <t>Net Cash from Operating Activities</t>
  </si>
  <si>
    <t>Net Cash from Investing Activities</t>
  </si>
  <si>
    <t>Net Cash from Financing Activities</t>
  </si>
  <si>
    <t>Cash &amp; Cash Equivalents</t>
  </si>
  <si>
    <t>ITC LIMITED - GROWTH ANALYSIS</t>
  </si>
  <si>
    <t>FY23</t>
  </si>
  <si>
    <t>FY24</t>
  </si>
  <si>
    <t>FY25</t>
  </si>
  <si>
    <t>FY24 GROWTH (in %)</t>
  </si>
  <si>
    <t>FY25 GROWTH (in %)</t>
  </si>
  <si>
    <t>Profit Before Tax</t>
  </si>
  <si>
    <t>ITC LIMITED - RATIO ANALYSIS</t>
  </si>
  <si>
    <t>Ratio</t>
  </si>
  <si>
    <t>Formula</t>
  </si>
  <si>
    <t>Current Ratio</t>
  </si>
  <si>
    <t>Current Assets/Current Liabilities</t>
  </si>
  <si>
    <t>2.89x</t>
  </si>
  <si>
    <t>3.00x</t>
  </si>
  <si>
    <t>3.06x</t>
  </si>
  <si>
    <t>Net Profit Margin</t>
  </si>
  <si>
    <t>PAT/Revenue*100</t>
  </si>
  <si>
    <t>Return on Assets</t>
  </si>
  <si>
    <t>PAT/Assets*100</t>
  </si>
  <si>
    <t>Return on Equity</t>
  </si>
  <si>
    <t>PAT/Equity*100</t>
  </si>
  <si>
    <t>Asset Turnover</t>
  </si>
  <si>
    <t>Revenue/Total Assets</t>
  </si>
  <si>
    <t>0.89x</t>
  </si>
  <si>
    <t>0.84x</t>
  </si>
  <si>
    <t>0.93x</t>
  </si>
  <si>
    <t>ITC LIMITED- TREND ANALYSIS</t>
  </si>
  <si>
    <t>Particulars  (in crores)</t>
  </si>
  <si>
    <t>Overall Trend</t>
  </si>
  <si>
    <t>Increasing</t>
  </si>
  <si>
    <t>Fluctuating</t>
  </si>
  <si>
    <t>Increasing Overall</t>
  </si>
  <si>
    <t>ITC LIMITED</t>
  </si>
  <si>
    <t>3-Year Financial Performance Analysis | FY 2022-23 to FY 2024-25</t>
  </si>
  <si>
    <t>Revenue FY25</t>
  </si>
  <si>
    <t>PAT FY25</t>
  </si>
  <si>
    <t>Current Ratio FY25</t>
  </si>
  <si>
    <t>ROE FY25</t>
  </si>
  <si>
    <t>₹82,282.80 Cr</t>
  </si>
  <si>
    <t>₹35,052.48 Cr</t>
  </si>
  <si>
    <t>Key Findings</t>
  </si>
  <si>
    <t xml:space="preserve">• Revenue increased moderately across the three-year period.                                                                       </t>
  </si>
  <si>
    <t xml:space="preserve">  </t>
  </si>
  <si>
    <t>• Profit after tax rose strongly in FY25, influenced by the reported discontinued-operations impact</t>
  </si>
  <si>
    <t xml:space="preserve">• ITC maintained a strong  liquidity position; the company reports negligible debt.                                       </t>
  </si>
  <si>
    <t xml:space="preserve">• Equity remained substantially funded by internal reserves                                                                              </t>
  </si>
  <si>
    <t>ITC LIMITED-CONCLUSION</t>
  </si>
  <si>
    <t>• ITC's consolidated revenue increased from FY23 to FY25</t>
  </si>
  <si>
    <t>• The balance sheet remainedstrong, with equity representing the majority of total assets</t>
  </si>
  <si>
    <t>• Liquidity remained comfortable based on the current-ratio framework</t>
  </si>
  <si>
    <t>• Debt remained very low relative to equity; ITC's FY23 report states that debt-equity abd debt-service coverage ratio were not relevant because debt was negligible</t>
  </si>
  <si>
    <t>• FY25 profit is not directly comparable with FY24 without considering discontinued operations and the related accounting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</si>
</sst>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i/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22"/>
      <color theme="1"/>
      <name val="Aptos Narrow"/>
      <family val="2"/>
      <scheme val="minor"/>
    </font>
    <font>
      <b/>
      <sz val="14"/>
      <color theme="1"/>
      <name val="Aptos Narrow (Body)"/>
    </font>
    <font>
      <sz val="14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theme="0"/>
      <name val="Aptos Narrow"/>
      <scheme val="minor"/>
    </font>
    <font>
      <i/>
      <u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22"/>
      <color theme="2"/>
      <name val="Aptos Narrow"/>
      <family val="2"/>
      <scheme val="minor"/>
    </font>
    <font>
      <sz val="24"/>
      <color theme="2"/>
      <name val="Aptos Narrow"/>
      <family val="2"/>
      <scheme val="minor"/>
    </font>
    <font>
      <sz val="12"/>
      <color theme="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0" borderId="0" xfId="0" applyFont="1"/>
    <xf numFmtId="0" fontId="6" fillId="4" borderId="0" xfId="0" applyFont="1" applyFill="1"/>
    <xf numFmtId="0" fontId="0" fillId="4" borderId="0" xfId="0" applyFill="1"/>
    <xf numFmtId="0" fontId="0" fillId="0" borderId="5" xfId="0" applyBorder="1"/>
    <xf numFmtId="4" fontId="0" fillId="0" borderId="2" xfId="0" applyNumberFormat="1" applyBorder="1"/>
    <xf numFmtId="0" fontId="7" fillId="2" borderId="1" xfId="0" applyFont="1" applyFill="1" applyBorder="1"/>
    <xf numFmtId="0" fontId="1" fillId="2" borderId="1" xfId="0" applyFont="1" applyFill="1" applyBorder="1"/>
    <xf numFmtId="0" fontId="4" fillId="4" borderId="0" xfId="0" applyFont="1" applyFill="1"/>
    <xf numFmtId="0" fontId="8" fillId="4" borderId="5" xfId="0" applyFont="1" applyFill="1" applyBorder="1"/>
    <xf numFmtId="0" fontId="0" fillId="3" borderId="0" xfId="0" applyFill="1"/>
    <xf numFmtId="0" fontId="0" fillId="5" borderId="1" xfId="0" applyFill="1" applyBorder="1"/>
    <xf numFmtId="0" fontId="2" fillId="5" borderId="1" xfId="0" applyFont="1" applyFill="1" applyBorder="1"/>
    <xf numFmtId="0" fontId="0" fillId="0" borderId="6" xfId="0" applyBorder="1"/>
    <xf numFmtId="3" fontId="0" fillId="0" borderId="4" xfId="0" applyNumberFormat="1" applyBorder="1"/>
    <xf numFmtId="4" fontId="0" fillId="0" borderId="4" xfId="0" applyNumberFormat="1" applyBorder="1"/>
    <xf numFmtId="0" fontId="9" fillId="6" borderId="1" xfId="0" applyFont="1" applyFill="1" applyBorder="1"/>
    <xf numFmtId="0" fontId="1" fillId="6" borderId="1" xfId="0" applyFont="1" applyFill="1" applyBorder="1"/>
    <xf numFmtId="0" fontId="0" fillId="0" borderId="0" xfId="0" applyAlignment="1">
      <alignment horizontal="center"/>
    </xf>
    <xf numFmtId="0" fontId="0" fillId="7" borderId="0" xfId="0" applyFill="1"/>
    <xf numFmtId="0" fontId="3" fillId="7" borderId="0" xfId="0" applyFont="1" applyFill="1"/>
    <xf numFmtId="0" fontId="10" fillId="7" borderId="0" xfId="0" applyFont="1" applyFill="1"/>
    <xf numFmtId="0" fontId="11" fillId="7" borderId="0" xfId="0" applyFont="1" applyFill="1"/>
    <xf numFmtId="0" fontId="4" fillId="0" borderId="0" xfId="0" applyFont="1"/>
    <xf numFmtId="0" fontId="12" fillId="3" borderId="0" xfId="0" applyFont="1" applyFill="1"/>
    <xf numFmtId="0" fontId="13" fillId="3" borderId="0" xfId="0" applyFont="1" applyFill="1"/>
    <xf numFmtId="0" fontId="0" fillId="0" borderId="7" xfId="0" applyBorder="1"/>
    <xf numFmtId="4" fontId="0" fillId="0" borderId="3" xfId="0" applyNumberFormat="1" applyBorder="1"/>
    <xf numFmtId="0" fontId="1" fillId="6" borderId="1" xfId="0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1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0" fontId="0" fillId="0" borderId="0" xfId="0" applyNumberFormat="1" applyAlignment="1">
      <alignment horizontal="center"/>
    </xf>
    <xf numFmtId="0" fontId="8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711200</xdr:colOff>
      <xdr:row>2</xdr:row>
      <xdr:rowOff>152400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B4F4CB3-E165-001F-4CC0-B133DB15E109}"/>
            </a:ext>
          </a:extLst>
        </xdr:cNvPr>
        <xdr:cNvSpPr txBox="1"/>
      </xdr:nvSpPr>
      <xdr:spPr>
        <a:xfrm>
          <a:off x="12611100" y="76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BA259-D0CD-964C-BDC3-3819A607C6DB}">
  <dimension ref="A1:D23"/>
  <sheetViews>
    <sheetView workbookViewId="0">
      <selection activeCell="C27" sqref="C27"/>
    </sheetView>
  </sheetViews>
  <sheetFormatPr defaultColWidth="11" defaultRowHeight="15.95"/>
  <cols>
    <col min="1" max="1" width="43.375" customWidth="1"/>
    <col min="2" max="4" width="22.125" customWidth="1"/>
  </cols>
  <sheetData>
    <row r="1" spans="1:4" ht="29.1">
      <c r="A1" s="5" t="s">
        <v>0</v>
      </c>
    </row>
    <row r="2" spans="1:4" ht="18.95">
      <c r="A2" s="10" t="s">
        <v>1</v>
      </c>
      <c r="B2" s="11" t="s">
        <v>2</v>
      </c>
      <c r="C2" s="11" t="s">
        <v>3</v>
      </c>
      <c r="D2" s="11" t="s">
        <v>4</v>
      </c>
    </row>
    <row r="3" spans="1:4" ht="18.95">
      <c r="A3" s="6" t="s">
        <v>5</v>
      </c>
      <c r="B3" s="7"/>
      <c r="C3" s="7"/>
      <c r="D3" s="7"/>
    </row>
    <row r="4" spans="1:4">
      <c r="A4" s="8" t="s">
        <v>6</v>
      </c>
      <c r="B4" s="9">
        <v>76518.210000000006</v>
      </c>
      <c r="C4" s="9">
        <v>76840.490000000005</v>
      </c>
      <c r="D4" s="9">
        <v>82282.8</v>
      </c>
    </row>
    <row r="5" spans="1:4">
      <c r="A5" s="8" t="s">
        <v>7</v>
      </c>
      <c r="B5" s="9">
        <v>1980.49</v>
      </c>
      <c r="C5" s="9">
        <v>2727.84</v>
      </c>
      <c r="D5" s="9">
        <v>2529.69</v>
      </c>
    </row>
    <row r="6" spans="1:4">
      <c r="A6" s="8" t="s">
        <v>8</v>
      </c>
      <c r="B6" s="9">
        <v>78498.7</v>
      </c>
      <c r="C6" s="9">
        <v>79568.33</v>
      </c>
      <c r="D6" s="9">
        <v>84812.49</v>
      </c>
    </row>
    <row r="7" spans="1:4">
      <c r="A7" s="8" t="s">
        <v>9</v>
      </c>
      <c r="B7" s="9">
        <v>52705.49</v>
      </c>
      <c r="C7" s="9">
        <v>52448.49</v>
      </c>
      <c r="D7" s="9">
        <v>57325.95</v>
      </c>
    </row>
    <row r="8" spans="1:4">
      <c r="A8" s="8" t="s">
        <v>10</v>
      </c>
      <c r="B8" s="9">
        <v>25866.080000000002</v>
      </c>
      <c r="C8" s="9">
        <v>27139.88</v>
      </c>
      <c r="D8" s="9">
        <v>26926.94</v>
      </c>
    </row>
    <row r="9" spans="1:4">
      <c r="A9" s="8" t="s">
        <v>11</v>
      </c>
      <c r="B9" s="9">
        <v>6438.4</v>
      </c>
      <c r="C9" s="9">
        <v>6388.52</v>
      </c>
      <c r="D9" s="9">
        <v>6890.47</v>
      </c>
    </row>
    <row r="10" spans="1:4">
      <c r="A10" s="8" t="s">
        <v>12</v>
      </c>
      <c r="B10" s="9">
        <v>19477.72</v>
      </c>
      <c r="C10" s="9">
        <v>20751.36</v>
      </c>
      <c r="D10" s="9">
        <v>35052.480000000003</v>
      </c>
    </row>
    <row r="11" spans="1:4" ht="18.95">
      <c r="A11" s="12" t="s">
        <v>13</v>
      </c>
      <c r="B11" s="7"/>
      <c r="C11" s="7"/>
      <c r="D11" s="7"/>
    </row>
    <row r="12" spans="1:4">
      <c r="A12" s="8" t="s">
        <v>14</v>
      </c>
      <c r="B12" s="9">
        <v>46212.09</v>
      </c>
      <c r="C12" s="9">
        <v>50760.62</v>
      </c>
      <c r="D12" s="9">
        <v>44197.4</v>
      </c>
    </row>
    <row r="13" spans="1:4">
      <c r="A13" s="8" t="s">
        <v>15</v>
      </c>
      <c r="B13" s="9">
        <v>39670.89</v>
      </c>
      <c r="C13" s="9">
        <v>41065.54</v>
      </c>
      <c r="D13" s="9">
        <v>43893.279999999999</v>
      </c>
    </row>
    <row r="14" spans="1:4">
      <c r="A14" s="8" t="s">
        <v>16</v>
      </c>
      <c r="B14" s="9">
        <v>85882.98</v>
      </c>
      <c r="C14" s="9">
        <v>91826.54</v>
      </c>
      <c r="D14" s="9">
        <v>88090.68</v>
      </c>
    </row>
    <row r="15" spans="1:4">
      <c r="A15" s="8" t="s">
        <v>17</v>
      </c>
      <c r="B15" s="9">
        <v>69538.789999999994</v>
      </c>
      <c r="C15" s="9">
        <v>74889.97</v>
      </c>
      <c r="D15" s="9">
        <v>70397.94</v>
      </c>
    </row>
    <row r="16" spans="1:4">
      <c r="A16" s="8" t="s">
        <v>18</v>
      </c>
      <c r="B16" s="9">
        <v>2604.7800000000002</v>
      </c>
      <c r="C16" s="9">
        <v>3245.79</v>
      </c>
      <c r="D16" s="9">
        <v>3358.63</v>
      </c>
    </row>
    <row r="17" spans="1:4">
      <c r="A17" s="8" t="s">
        <v>19</v>
      </c>
      <c r="B17" s="9">
        <v>13439.41</v>
      </c>
      <c r="C17" s="9">
        <v>13690.4</v>
      </c>
      <c r="D17" s="9">
        <v>14334.11</v>
      </c>
    </row>
    <row r="18" spans="1:4">
      <c r="A18" s="8" t="s">
        <v>20</v>
      </c>
      <c r="B18" s="9">
        <v>85882.98</v>
      </c>
      <c r="C18" s="9">
        <v>91826.16</v>
      </c>
      <c r="D18" s="9">
        <v>88090.68</v>
      </c>
    </row>
    <row r="19" spans="1:4">
      <c r="A19" s="13" t="s">
        <v>21</v>
      </c>
      <c r="B19" s="7"/>
      <c r="C19" s="7"/>
      <c r="D19" s="7"/>
    </row>
    <row r="20" spans="1:4">
      <c r="A20" s="8" t="s">
        <v>22</v>
      </c>
      <c r="B20" s="9">
        <v>18877.55</v>
      </c>
      <c r="C20" s="2"/>
      <c r="D20" s="2"/>
    </row>
    <row r="21" spans="1:4">
      <c r="A21" s="8" t="s">
        <v>23</v>
      </c>
      <c r="B21" s="9">
        <v>-5732.29</v>
      </c>
      <c r="C21" s="2"/>
      <c r="D21" s="2"/>
    </row>
    <row r="22" spans="1:4">
      <c r="A22" s="8" t="s">
        <v>24</v>
      </c>
      <c r="B22" s="9">
        <v>-13006.03</v>
      </c>
      <c r="C22" s="2"/>
      <c r="D22" s="2"/>
    </row>
    <row r="23" spans="1:4">
      <c r="A23" s="1" t="s">
        <v>25</v>
      </c>
      <c r="B23" s="1">
        <v>463.35</v>
      </c>
      <c r="C23" s="1">
        <v>625.89</v>
      </c>
      <c r="D23" s="1">
        <v>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CA23-0C97-544E-9FE2-12438B472BBE}">
  <dimension ref="A1:F9"/>
  <sheetViews>
    <sheetView topLeftCell="A2" workbookViewId="0">
      <selection activeCell="B30" sqref="B30:B31"/>
    </sheetView>
  </sheetViews>
  <sheetFormatPr defaultColWidth="11" defaultRowHeight="15.95"/>
  <cols>
    <col min="1" max="1" width="32.125" customWidth="1"/>
    <col min="2" max="4" width="16.375" customWidth="1"/>
    <col min="5" max="5" width="19" customWidth="1"/>
    <col min="6" max="6" width="18.875" customWidth="1"/>
  </cols>
  <sheetData>
    <row r="1" spans="1:6" ht="29.1">
      <c r="A1" s="28" t="s">
        <v>26</v>
      </c>
      <c r="B1" s="14"/>
      <c r="C1" s="14"/>
      <c r="D1" s="14"/>
      <c r="E1" s="14"/>
      <c r="F1" s="14"/>
    </row>
    <row r="2" spans="1:6" ht="18.95">
      <c r="A2" s="16" t="s">
        <v>1</v>
      </c>
      <c r="B2" s="15" t="s">
        <v>27</v>
      </c>
      <c r="C2" s="15" t="s">
        <v>28</v>
      </c>
      <c r="D2" s="15" t="s">
        <v>29</v>
      </c>
      <c r="E2" s="15" t="s">
        <v>30</v>
      </c>
      <c r="F2" s="15" t="s">
        <v>31</v>
      </c>
    </row>
    <row r="3" spans="1:6">
      <c r="A3" s="17" t="s">
        <v>6</v>
      </c>
      <c r="B3" s="18">
        <v>76518.210000000006</v>
      </c>
      <c r="C3" s="19">
        <v>76840.490000000005</v>
      </c>
      <c r="D3" s="19">
        <v>82282.8</v>
      </c>
      <c r="E3" s="4">
        <f>(C3-B3)/B3*100</f>
        <v>0.42118078820714544</v>
      </c>
      <c r="F3" s="4">
        <f>(D3-C3)/C3*100</f>
        <v>7.0826070994601906</v>
      </c>
    </row>
    <row r="4" spans="1:6">
      <c r="A4" s="8" t="s">
        <v>8</v>
      </c>
      <c r="B4" s="9">
        <v>78498.7</v>
      </c>
      <c r="C4" s="9">
        <v>79568.33</v>
      </c>
      <c r="D4" s="9">
        <v>84812.49</v>
      </c>
      <c r="E4" s="2">
        <f>(C4-B4)/B4*100</f>
        <v>1.3626085527531089</v>
      </c>
      <c r="F4" s="2">
        <f>(D4-C4)/C4*100</f>
        <v>6.5907629329407857</v>
      </c>
    </row>
    <row r="5" spans="1:6">
      <c r="A5" s="8" t="s">
        <v>9</v>
      </c>
      <c r="B5" s="9">
        <v>52705.49</v>
      </c>
      <c r="C5" s="9">
        <v>52448.49</v>
      </c>
      <c r="D5" s="9">
        <v>57325.95</v>
      </c>
      <c r="E5" s="2">
        <f>(C5-B5)/B5*100</f>
        <v>-0.48761523704646326</v>
      </c>
      <c r="F5" s="2">
        <f>(D5-C5)/C5*100</f>
        <v>9.2995241617060831</v>
      </c>
    </row>
    <row r="6" spans="1:6">
      <c r="A6" s="8" t="s">
        <v>32</v>
      </c>
      <c r="B6" s="9">
        <v>25866.080000000002</v>
      </c>
      <c r="C6" s="9">
        <v>27139.88</v>
      </c>
      <c r="D6" s="9">
        <v>26926.94</v>
      </c>
      <c r="E6" s="2">
        <f>(C6-B6)/B6*100</f>
        <v>4.924596227955683</v>
      </c>
      <c r="F6" s="2">
        <f>(D6-C6)/C6*100</f>
        <v>-0.78460184790795795</v>
      </c>
    </row>
    <row r="7" spans="1:6">
      <c r="A7" s="8" t="s">
        <v>12</v>
      </c>
      <c r="B7" s="9">
        <v>19476.72</v>
      </c>
      <c r="C7" s="9">
        <v>20751.36</v>
      </c>
      <c r="D7" s="9">
        <v>35052.480000000003</v>
      </c>
      <c r="E7" s="2">
        <f>(C7-B7)/B7*100</f>
        <v>6.5444284253200715</v>
      </c>
      <c r="F7" s="2">
        <f>(D7-C7)/C7*100</f>
        <v>68.916543301258343</v>
      </c>
    </row>
    <row r="8" spans="1:6">
      <c r="A8" s="8" t="s">
        <v>16</v>
      </c>
      <c r="B8" s="9">
        <v>85882.98</v>
      </c>
      <c r="C8" s="9">
        <v>91826.16</v>
      </c>
      <c r="D8" s="9">
        <v>88090.68</v>
      </c>
      <c r="E8" s="2">
        <f>(C8-B8)/B8*100</f>
        <v>6.9200905697496848</v>
      </c>
      <c r="F8" s="2">
        <f>(D8-C8)/C8*100</f>
        <v>-4.067991082279832</v>
      </c>
    </row>
    <row r="9" spans="1:6">
      <c r="A9" s="30" t="s">
        <v>17</v>
      </c>
      <c r="B9" s="31">
        <v>69532.789999999994</v>
      </c>
      <c r="C9" s="31">
        <v>74889.97</v>
      </c>
      <c r="D9" s="31">
        <v>70397.94</v>
      </c>
      <c r="E9" s="3">
        <f>(C9-B9)/B9*100</f>
        <v>7.704537672082493</v>
      </c>
      <c r="F9" s="3">
        <f>(D9-C9)/C9*100</f>
        <v>-5.9981730530804045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DD20E-10B0-E841-AF7A-97BAAA16F126}">
  <dimension ref="A1:J7"/>
  <sheetViews>
    <sheetView workbookViewId="0">
      <selection activeCell="B29" sqref="B29"/>
    </sheetView>
  </sheetViews>
  <sheetFormatPr defaultColWidth="11" defaultRowHeight="15.95"/>
  <cols>
    <col min="1" max="1" width="28.625" customWidth="1"/>
    <col min="2" max="2" width="53.5" style="22" customWidth="1"/>
    <col min="3" max="5" width="17.625" style="22" customWidth="1"/>
    <col min="6" max="10" width="11" style="22"/>
  </cols>
  <sheetData>
    <row r="1" spans="1:5" ht="29.1">
      <c r="A1" s="28" t="s">
        <v>33</v>
      </c>
      <c r="B1" s="34"/>
      <c r="C1" s="35"/>
      <c r="D1" s="35"/>
      <c r="E1" s="35"/>
    </row>
    <row r="2" spans="1:5" ht="18.95">
      <c r="A2" s="20" t="s">
        <v>34</v>
      </c>
      <c r="B2" s="32" t="s">
        <v>35</v>
      </c>
      <c r="C2" s="32" t="s">
        <v>27</v>
      </c>
      <c r="D2" s="32" t="s">
        <v>28</v>
      </c>
      <c r="E2" s="32" t="s">
        <v>29</v>
      </c>
    </row>
    <row r="3" spans="1:5">
      <c r="A3" t="s">
        <v>36</v>
      </c>
      <c r="B3" s="22" t="s">
        <v>37</v>
      </c>
      <c r="C3" s="22" t="s">
        <v>38</v>
      </c>
      <c r="D3" s="22" t="s">
        <v>39</v>
      </c>
      <c r="E3" s="22" t="s">
        <v>40</v>
      </c>
    </row>
    <row r="4" spans="1:5">
      <c r="A4" t="s">
        <v>41</v>
      </c>
      <c r="B4" s="22" t="s">
        <v>42</v>
      </c>
      <c r="C4" s="36">
        <v>0.2545</v>
      </c>
      <c r="D4" s="36">
        <v>0.27</v>
      </c>
      <c r="E4" s="36">
        <v>0.4259</v>
      </c>
    </row>
    <row r="5" spans="1:5">
      <c r="A5" t="s">
        <v>43</v>
      </c>
      <c r="B5" s="22" t="s">
        <v>44</v>
      </c>
      <c r="C5" s="36">
        <v>0.2268</v>
      </c>
      <c r="D5" s="36">
        <v>0.22600000000000001</v>
      </c>
      <c r="E5" s="36">
        <v>0.39789999999999998</v>
      </c>
    </row>
    <row r="6" spans="1:5">
      <c r="A6" t="s">
        <v>45</v>
      </c>
      <c r="B6" s="22" t="s">
        <v>46</v>
      </c>
      <c r="C6" s="36">
        <v>0.28010000000000002</v>
      </c>
      <c r="D6" s="36">
        <v>0.27710000000000001</v>
      </c>
      <c r="E6" s="36">
        <v>0.49790000000000001</v>
      </c>
    </row>
    <row r="7" spans="1:5">
      <c r="A7" t="s">
        <v>47</v>
      </c>
      <c r="B7" s="22" t="s">
        <v>48</v>
      </c>
      <c r="C7" s="36" t="s">
        <v>49</v>
      </c>
      <c r="D7" s="22" t="s">
        <v>50</v>
      </c>
      <c r="E7" s="22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9E20-AC14-6E4F-842F-78D4AFC7D85C}">
  <dimension ref="A1:E8"/>
  <sheetViews>
    <sheetView workbookViewId="0">
      <selection activeCell="B8" sqref="B8"/>
    </sheetView>
  </sheetViews>
  <sheetFormatPr defaultColWidth="11" defaultRowHeight="15.95"/>
  <cols>
    <col min="1" max="1" width="43.125" customWidth="1"/>
    <col min="2" max="5" width="22.875" customWidth="1"/>
  </cols>
  <sheetData>
    <row r="1" spans="1:5" ht="32.1">
      <c r="A1" s="29" t="s">
        <v>52</v>
      </c>
      <c r="B1" s="14"/>
      <c r="C1" s="14"/>
      <c r="D1" s="14"/>
      <c r="E1" s="14"/>
    </row>
    <row r="2" spans="1:5">
      <c r="A2" s="21" t="s">
        <v>53</v>
      </c>
      <c r="B2" s="32" t="s">
        <v>27</v>
      </c>
      <c r="C2" s="32" t="s">
        <v>28</v>
      </c>
      <c r="D2" s="32" t="s">
        <v>29</v>
      </c>
      <c r="E2" s="32" t="s">
        <v>54</v>
      </c>
    </row>
    <row r="3" spans="1:5">
      <c r="A3" t="s">
        <v>6</v>
      </c>
      <c r="B3" s="33">
        <v>76518.210000000006</v>
      </c>
      <c r="C3" s="33">
        <v>76840.490000000005</v>
      </c>
      <c r="D3" s="33">
        <v>82282.8</v>
      </c>
      <c r="E3" s="22" t="s">
        <v>55</v>
      </c>
    </row>
    <row r="4" spans="1:5">
      <c r="A4" t="s">
        <v>12</v>
      </c>
      <c r="B4" s="33">
        <v>19476.72</v>
      </c>
      <c r="C4" s="33">
        <v>20751.36</v>
      </c>
      <c r="D4" s="33">
        <v>35052.480000000003</v>
      </c>
      <c r="E4" s="22" t="s">
        <v>55</v>
      </c>
    </row>
    <row r="5" spans="1:5">
      <c r="A5" t="s">
        <v>16</v>
      </c>
      <c r="B5" s="33">
        <v>85882.98</v>
      </c>
      <c r="C5" s="33">
        <v>91826.16</v>
      </c>
      <c r="D5" s="33">
        <v>88090.68</v>
      </c>
      <c r="E5" s="22" t="s">
        <v>56</v>
      </c>
    </row>
    <row r="6" spans="1:5">
      <c r="A6" t="s">
        <v>17</v>
      </c>
      <c r="B6" s="33">
        <v>69538.789999999994</v>
      </c>
      <c r="C6" s="33">
        <v>74889.97</v>
      </c>
      <c r="D6" s="33">
        <v>70397.94</v>
      </c>
      <c r="E6" s="22" t="s">
        <v>56</v>
      </c>
    </row>
    <row r="7" spans="1:5">
      <c r="A7" t="s">
        <v>25</v>
      </c>
      <c r="B7" s="33">
        <v>463.35</v>
      </c>
      <c r="C7" s="33">
        <v>625.89</v>
      </c>
      <c r="D7" s="33">
        <v>620</v>
      </c>
      <c r="E7" s="22" t="s">
        <v>57</v>
      </c>
    </row>
    <row r="8" spans="1:5">
      <c r="B8" s="22"/>
      <c r="C8" s="22"/>
      <c r="D8" s="22"/>
      <c r="E8" s="2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FD4D-FD8B-C940-BCBF-91815171D356}">
  <dimension ref="A1:D10"/>
  <sheetViews>
    <sheetView workbookViewId="0">
      <selection activeCell="B10" sqref="B10"/>
    </sheetView>
  </sheetViews>
  <sheetFormatPr defaultColWidth="11" defaultRowHeight="15.95"/>
  <cols>
    <col min="1" max="1" width="28.125" customWidth="1"/>
    <col min="2" max="4" width="22.375" customWidth="1"/>
  </cols>
  <sheetData>
    <row r="1" spans="1:4" ht="29.1">
      <c r="A1" s="28" t="s">
        <v>58</v>
      </c>
      <c r="B1" s="14"/>
      <c r="C1" s="14"/>
      <c r="D1" s="14"/>
    </row>
    <row r="2" spans="1:4" ht="18.95">
      <c r="A2" s="24" t="s">
        <v>59</v>
      </c>
      <c r="B2" s="26"/>
      <c r="C2" s="25"/>
      <c r="D2" s="23"/>
    </row>
    <row r="4" spans="1:4">
      <c r="A4" s="37" t="s">
        <v>60</v>
      </c>
      <c r="B4" s="37" t="s">
        <v>61</v>
      </c>
      <c r="C4" s="37" t="s">
        <v>62</v>
      </c>
      <c r="D4" s="37" t="s">
        <v>63</v>
      </c>
    </row>
    <row r="5" spans="1:4" ht="27.95" customHeight="1">
      <c r="A5" s="22" t="s">
        <v>64</v>
      </c>
      <c r="B5" s="22" t="s">
        <v>65</v>
      </c>
      <c r="C5" s="22" t="s">
        <v>40</v>
      </c>
      <c r="D5" s="36">
        <v>0.49790000000000001</v>
      </c>
    </row>
    <row r="6" spans="1:4" ht="24" customHeight="1">
      <c r="A6" s="27" t="s">
        <v>66</v>
      </c>
    </row>
    <row r="7" spans="1:4">
      <c r="A7" t="s">
        <v>67</v>
      </c>
      <c r="C7" t="s">
        <v>68</v>
      </c>
    </row>
    <row r="8" spans="1:4">
      <c r="A8" t="s">
        <v>69</v>
      </c>
    </row>
    <row r="9" spans="1:4">
      <c r="A9" t="s">
        <v>70</v>
      </c>
    </row>
    <row r="10" spans="1:4">
      <c r="A10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F066-6040-9045-8E22-DE1A3A76FADE}">
  <dimension ref="A1:A6"/>
  <sheetViews>
    <sheetView tabSelected="1" workbookViewId="0">
      <selection activeCell="A8" sqref="A8"/>
    </sheetView>
  </sheetViews>
  <sheetFormatPr defaultColWidth="11" defaultRowHeight="15.95"/>
  <cols>
    <col min="1" max="1" width="173.5" customWidth="1"/>
  </cols>
  <sheetData>
    <row r="1" spans="1:1" ht="29.1">
      <c r="A1" s="28" t="s">
        <v>72</v>
      </c>
    </row>
    <row r="2" spans="1:1">
      <c r="A2" t="s">
        <v>73</v>
      </c>
    </row>
    <row r="3" spans="1:1">
      <c r="A3" t="s">
        <v>74</v>
      </c>
    </row>
    <row r="4" spans="1:1">
      <c r="A4" t="s">
        <v>75</v>
      </c>
    </row>
    <row r="5" spans="1:1">
      <c r="A5" t="s">
        <v>76</v>
      </c>
    </row>
    <row r="6" spans="1:1">
      <c r="A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v6181</dc:creator>
  <cp:keywords/>
  <dc:description/>
  <cp:lastModifiedBy>Guest User</cp:lastModifiedBy>
  <cp:revision/>
  <dcterms:created xsi:type="dcterms:W3CDTF">2026-08-21T09:58:55Z</dcterms:created>
  <dcterms:modified xsi:type="dcterms:W3CDTF">2026-08-22T18:59:48Z</dcterms:modified>
  <cp:category/>
  <cp:contentStatus/>
</cp:coreProperties>
</file>